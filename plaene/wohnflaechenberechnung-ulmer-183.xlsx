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500" firstSheet="0" activeTab="1" autoFilterDateGrouping="1"/>
  </bookViews>
  <sheets>
    <sheet xmlns:r="http://schemas.openxmlformats.org/officeDocument/2006/relationships" name="Wohnflächenberechnung" sheetId="1" state="visible" r:id="rId1"/>
    <sheet xmlns:r="http://schemas.openxmlformats.org/officeDocument/2006/relationships" name="Wohnungsliste" sheetId="2" state="visible" r:id="rId2"/>
    <sheet xmlns:r="http://schemas.openxmlformats.org/officeDocument/2006/relationships" name="Miteigentumsanteil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#,##0.00&quot; €&quot;"/>
    <numFmt numFmtId="166" formatCode="0.000"/>
  </numFmts>
  <fonts count="17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color rgb="FF595959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9"/>
    </font>
    <font>
      <name val="Arial"/>
      <family val="2"/>
      <color rgb="FF008000"/>
      <sz val="10"/>
    </font>
    <font>
      <b val="1"/>
      <color rgb="001F4E78"/>
      <sz val="14"/>
    </font>
    <font>
      <i val="1"/>
      <color rgb="00595959"/>
      <sz val="9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BDD7EE"/>
      </patternFill>
    </fill>
    <fill>
      <patternFill patternType="solid">
        <fgColor rgb="FFBDD7EE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9" fontId="3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4" fontId="7" fillId="0" borderId="1" pivotButton="0" quotePrefix="0" xfId="0"/>
    <xf numFmtId="0" fontId="8" fillId="3" borderId="1" pivotButton="0" quotePrefix="0" xfId="0"/>
    <xf numFmtId="4" fontId="8" fillId="3" borderId="1" pivotButton="0" quotePrefix="0" xfId="0"/>
    <xf numFmtId="0" fontId="9" fillId="4" borderId="1" pivotButton="0" quotePrefix="0" xfId="0"/>
    <xf numFmtId="4" fontId="9" fillId="4" borderId="1" pivotButton="0" quotePrefix="0" xfId="0"/>
    <xf numFmtId="0" fontId="10" fillId="0" borderId="0" pivotButton="0" quotePrefix="0" xfId="0"/>
    <xf numFmtId="0" fontId="8" fillId="0" borderId="0" pivotButton="0" quotePrefix="0" xfId="0"/>
    <xf numFmtId="164" fontId="7" fillId="5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6" fillId="0" borderId="1" applyAlignment="1" pivotButton="0" quotePrefix="0" xfId="0">
      <alignment horizontal="center"/>
    </xf>
    <xf numFmtId="4" fontId="12" fillId="0" borderId="1" pivotButton="0" quotePrefix="0" xfId="0"/>
    <xf numFmtId="164" fontId="6" fillId="0" borderId="1" pivotButton="0" quotePrefix="0" xfId="0"/>
    <xf numFmtId="164" fontId="8" fillId="0" borderId="1" pivotButton="0" quotePrefix="0" xfId="0"/>
    <xf numFmtId="165" fontId="6" fillId="0" borderId="1" pivotButton="0" quotePrefix="0" xfId="0"/>
    <xf numFmtId="165" fontId="8" fillId="0" borderId="1" pivotButton="0" quotePrefix="0" xfId="0"/>
    <xf numFmtId="0" fontId="9" fillId="4" borderId="1" applyAlignment="1" pivotButton="0" quotePrefix="0" xfId="0">
      <alignment horizontal="center"/>
    </xf>
    <xf numFmtId="164" fontId="9" fillId="4" borderId="1" pivotButton="0" quotePrefix="0" xfId="0"/>
    <xf numFmtId="165" fontId="9" fillId="4" borderId="1" pivotButton="0" quotePrefix="0" xfId="0"/>
    <xf numFmtId="10" fontId="1" fillId="0" borderId="0" pivotButton="0" quotePrefix="0" xfId="1"/>
    <xf numFmtId="0" fontId="13" fillId="0" borderId="0" pivotButton="0" quotePrefix="0" xfId="0"/>
    <xf numFmtId="0" fontId="14" fillId="0" borderId="0" pivotButton="0" quotePrefix="0" xfId="0"/>
    <xf numFmtId="0" fontId="15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0" fontId="16" fillId="0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2" fontId="0" fillId="7" borderId="2" applyAlignment="1" pivotButton="0" quotePrefix="0" xfId="0">
      <alignment horizontal="right" vertical="center"/>
    </xf>
    <xf numFmtId="166" fontId="0" fillId="7" borderId="2" applyAlignment="1" pivotButton="0" quotePrefix="0" xfId="0">
      <alignment horizontal="right" vertical="center"/>
    </xf>
    <xf numFmtId="0" fontId="16" fillId="7" borderId="2" applyAlignment="1" pivotButton="0" quotePrefix="0" xfId="0">
      <alignment horizontal="right" vertical="center"/>
    </xf>
    <xf numFmtId="0" fontId="16" fillId="8" borderId="2" applyAlignment="1" pivotButton="0" quotePrefix="0" xfId="0">
      <alignment horizontal="left" vertical="center"/>
    </xf>
    <xf numFmtId="0" fontId="16" fillId="8" borderId="2" applyAlignment="1" pivotButton="0" quotePrefix="0" xfId="0">
      <alignment horizontal="center" vertical="center"/>
    </xf>
    <xf numFmtId="2" fontId="16" fillId="8" borderId="2" applyAlignment="1" pivotButton="0" quotePrefix="0" xfId="0">
      <alignment horizontal="right" vertical="center"/>
    </xf>
    <xf numFmtId="0" fontId="16" fillId="8" borderId="2" applyAlignment="1" pivotButton="0" quotePrefix="0" xfId="0">
      <alignment horizontal="right" vertical="center"/>
    </xf>
  </cellXfs>
  <cellStyles count="2">
    <cellStyle name="Standard" xfId="0" builtinId="0"/>
    <cellStyle name="Prozent" xfId="1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topLeftCell="A58" zoomScaleNormal="100" workbookViewId="0">
      <selection activeCell="A93" sqref="A93:XFD95"/>
    </sheetView>
  </sheetViews>
  <sheetFormatPr baseColWidth="10" defaultColWidth="8.6640625" defaultRowHeight="15"/>
  <cols>
    <col width="10" customWidth="1" min="1" max="2"/>
    <col width="34" customWidth="1" min="3" max="3"/>
    <col width="13" customWidth="1" min="4" max="4"/>
    <col width="46" customWidth="1" min="5" max="5"/>
  </cols>
  <sheetData>
    <row r="1" ht="18" customHeight="1">
      <c r="A1" s="1" t="inlineStr">
        <is>
          <t>Wohnflächenberechnung</t>
        </is>
      </c>
    </row>
    <row r="2">
      <c r="A2" s="2" t="inlineStr">
        <is>
          <t>Ulmer Str. 183, 86156 Augsburg – Stadtvilla, Umbau in 10 WG-Wohnungen + 1 Gewerbeeinheit</t>
        </is>
      </c>
    </row>
    <row r="3">
      <c r="A3" s="3" t="inlineStr">
        <is>
          <t>Grundlage: Ulmer str Drawings Rev#5 (Plandatum 02.07.2026, Beqiri Bau &amp; Immobilien GmbH, M 1:50)</t>
        </is>
      </c>
    </row>
    <row r="5">
      <c r="A5" s="4" t="inlineStr">
        <is>
          <t>Geschoss</t>
        </is>
      </c>
      <c r="B5" s="4" t="inlineStr">
        <is>
          <t>Einheit</t>
        </is>
      </c>
      <c r="C5" s="4" t="inlineStr">
        <is>
          <t>Raum</t>
        </is>
      </c>
      <c r="D5" s="4" t="inlineStr">
        <is>
          <t>Fläche (m²)</t>
        </is>
      </c>
      <c r="E5" s="4" t="inlineStr">
        <is>
          <t>Bemerkung</t>
        </is>
      </c>
    </row>
    <row r="6">
      <c r="A6" s="5" t="inlineStr">
        <is>
          <t>EG</t>
        </is>
      </c>
      <c r="B6" s="5" t="inlineStr">
        <is>
          <t>WHG 1</t>
        </is>
      </c>
      <c r="C6" s="5" t="inlineStr">
        <is>
          <t>Zimmer 1</t>
        </is>
      </c>
      <c r="D6" s="6" t="n">
        <v>9</v>
      </c>
      <c r="E6" s="5" t="n"/>
    </row>
    <row r="7">
      <c r="A7" s="5" t="inlineStr">
        <is>
          <t>EG</t>
        </is>
      </c>
      <c r="B7" s="5" t="inlineStr">
        <is>
          <t>WHG 1</t>
        </is>
      </c>
      <c r="C7" s="5" t="inlineStr">
        <is>
          <t>Zimmer 2</t>
        </is>
      </c>
      <c r="D7" s="6" t="n">
        <v>12.7</v>
      </c>
      <c r="E7" s="5" t="n"/>
    </row>
    <row r="8">
      <c r="A8" s="5" t="inlineStr">
        <is>
          <t>EG</t>
        </is>
      </c>
      <c r="B8" s="5" t="inlineStr">
        <is>
          <t>WHG 1</t>
        </is>
      </c>
      <c r="C8" s="5" t="inlineStr">
        <is>
          <t>Zimmer 3</t>
        </is>
      </c>
      <c r="D8" s="6" t="n">
        <v>11</v>
      </c>
      <c r="E8" s="5" t="n"/>
    </row>
    <row r="9">
      <c r="A9" s="5" t="inlineStr">
        <is>
          <t>EG</t>
        </is>
      </c>
      <c r="B9" s="5" t="inlineStr">
        <is>
          <t>WHG 1</t>
        </is>
      </c>
      <c r="C9" s="5" t="inlineStr">
        <is>
          <t>Zimmer 4</t>
        </is>
      </c>
      <c r="D9" s="6" t="n">
        <v>12.82</v>
      </c>
      <c r="E9" s="5" t="n"/>
    </row>
    <row r="10">
      <c r="A10" s="5" t="inlineStr">
        <is>
          <t>EG</t>
        </is>
      </c>
      <c r="B10" s="5" t="inlineStr">
        <is>
          <t>WHG 1</t>
        </is>
      </c>
      <c r="C10" s="5" t="inlineStr">
        <is>
          <t>Küche</t>
        </is>
      </c>
      <c r="D10" s="6" t="n">
        <v>5.33</v>
      </c>
      <c r="E10" s="5" t="n"/>
    </row>
    <row r="11">
      <c r="A11" s="5" t="inlineStr">
        <is>
          <t>EG</t>
        </is>
      </c>
      <c r="B11" s="5" t="inlineStr">
        <is>
          <t>WHG 1</t>
        </is>
      </c>
      <c r="C11" s="5" t="inlineStr">
        <is>
          <t>Bad</t>
        </is>
      </c>
      <c r="D11" s="6" t="n">
        <v>3.82</v>
      </c>
      <c r="E11" s="5" t="n"/>
    </row>
    <row r="12">
      <c r="A12" s="5" t="inlineStr">
        <is>
          <t>EG</t>
        </is>
      </c>
      <c r="B12" s="5" t="inlineStr">
        <is>
          <t>WHG 1</t>
        </is>
      </c>
      <c r="C12" s="5" t="inlineStr">
        <is>
          <t>Flur</t>
        </is>
      </c>
      <c r="D12" s="6" t="n">
        <v>16.5</v>
      </c>
      <c r="E12" s="5" t="n"/>
    </row>
    <row r="13">
      <c r="A13" s="7" t="n"/>
      <c r="B13" s="7" t="n"/>
      <c r="C13" s="7" t="inlineStr">
        <is>
          <t>Summe WHG 1</t>
        </is>
      </c>
      <c r="D13" s="8">
        <f>SUM(D6:D12)</f>
        <v/>
      </c>
      <c r="E13" s="7" t="n"/>
    </row>
    <row r="14">
      <c r="A14" s="5" t="inlineStr">
        <is>
          <t>EG</t>
        </is>
      </c>
      <c r="B14" s="5" t="inlineStr">
        <is>
          <t>WHG 2</t>
        </is>
      </c>
      <c r="C14" s="5" t="inlineStr">
        <is>
          <t>Zimmer 1</t>
        </is>
      </c>
      <c r="D14" s="6" t="n">
        <v>9.720000000000001</v>
      </c>
      <c r="E14" s="5" t="n"/>
    </row>
    <row r="15">
      <c r="A15" s="5" t="inlineStr">
        <is>
          <t>EG</t>
        </is>
      </c>
      <c r="B15" s="5" t="inlineStr">
        <is>
          <t>WHG 2</t>
        </is>
      </c>
      <c r="C15" s="5" t="inlineStr">
        <is>
          <t>Zimmer 2</t>
        </is>
      </c>
      <c r="D15" s="6" t="n">
        <v>9.17</v>
      </c>
      <c r="E15" s="5" t="n"/>
    </row>
    <row r="16">
      <c r="A16" s="5" t="inlineStr">
        <is>
          <t>EG</t>
        </is>
      </c>
      <c r="B16" s="5" t="inlineStr">
        <is>
          <t>WHG 2</t>
        </is>
      </c>
      <c r="C16" s="5" t="inlineStr">
        <is>
          <t>Zimmer 3</t>
        </is>
      </c>
      <c r="D16" s="6" t="n">
        <v>13.1</v>
      </c>
      <c r="E16" s="5" t="n"/>
    </row>
    <row r="17">
      <c r="A17" s="5" t="inlineStr">
        <is>
          <t>EG</t>
        </is>
      </c>
      <c r="B17" s="5" t="inlineStr">
        <is>
          <t>WHG 2</t>
        </is>
      </c>
      <c r="C17" s="5" t="inlineStr">
        <is>
          <t>Zimmer 4</t>
        </is>
      </c>
      <c r="D17" s="6" t="n">
        <v>10.6</v>
      </c>
      <c r="E17" s="5" t="n"/>
    </row>
    <row r="18">
      <c r="A18" s="5" t="inlineStr">
        <is>
          <t>EG</t>
        </is>
      </c>
      <c r="B18" s="5" t="inlineStr">
        <is>
          <t>WHG 2</t>
        </is>
      </c>
      <c r="C18" s="5" t="inlineStr">
        <is>
          <t>Küche</t>
        </is>
      </c>
      <c r="D18" s="6" t="n">
        <v>4.41</v>
      </c>
      <c r="E18" s="5" t="n"/>
    </row>
    <row r="19">
      <c r="A19" s="5" t="inlineStr">
        <is>
          <t>EG</t>
        </is>
      </c>
      <c r="B19" s="5" t="inlineStr">
        <is>
          <t>WHG 2</t>
        </is>
      </c>
      <c r="C19" s="5" t="inlineStr">
        <is>
          <t>Bad</t>
        </is>
      </c>
      <c r="D19" s="6" t="n">
        <v>3.06</v>
      </c>
      <c r="E19" s="5" t="n"/>
    </row>
    <row r="20">
      <c r="A20" s="5" t="inlineStr">
        <is>
          <t>EG</t>
        </is>
      </c>
      <c r="B20" s="5" t="inlineStr">
        <is>
          <t>WHG 2</t>
        </is>
      </c>
      <c r="C20" s="5" t="inlineStr">
        <is>
          <t>Flur</t>
        </is>
      </c>
      <c r="D20" s="6" t="n">
        <v>7.06</v>
      </c>
      <c r="E20" s="5" t="n"/>
    </row>
    <row r="21">
      <c r="A21" s="7" t="n"/>
      <c r="B21" s="7" t="n"/>
      <c r="C21" s="7" t="inlineStr">
        <is>
          <t>Summe WHG 2</t>
        </is>
      </c>
      <c r="D21" s="8">
        <f>SUM(D14:D20)</f>
        <v/>
      </c>
      <c r="E21" s="7" t="n"/>
    </row>
    <row r="22">
      <c r="A22" s="5" t="inlineStr">
        <is>
          <t>1.OG</t>
        </is>
      </c>
      <c r="B22" s="5" t="inlineStr">
        <is>
          <t>WHG 3</t>
        </is>
      </c>
      <c r="C22" s="5" t="inlineStr">
        <is>
          <t>Zimmer 1</t>
        </is>
      </c>
      <c r="D22" s="6" t="n">
        <v>10.88</v>
      </c>
      <c r="E22" s="5" t="n"/>
    </row>
    <row r="23">
      <c r="A23" s="5" t="inlineStr">
        <is>
          <t>1.OG</t>
        </is>
      </c>
      <c r="B23" s="5" t="inlineStr">
        <is>
          <t>WHG 3</t>
        </is>
      </c>
      <c r="C23" s="5" t="inlineStr">
        <is>
          <t>Zimmer 2</t>
        </is>
      </c>
      <c r="D23" s="6" t="n">
        <v>9.6</v>
      </c>
      <c r="E23" s="5" t="n"/>
    </row>
    <row r="24">
      <c r="A24" s="5" t="inlineStr">
        <is>
          <t>1.OG</t>
        </is>
      </c>
      <c r="B24" s="5" t="inlineStr">
        <is>
          <t>WHG 3</t>
        </is>
      </c>
      <c r="C24" s="5" t="inlineStr">
        <is>
          <t>Zimmer 3</t>
        </is>
      </c>
      <c r="D24" s="6" t="n">
        <v>9.6</v>
      </c>
      <c r="E24" s="5" t="n"/>
    </row>
    <row r="25">
      <c r="A25" s="5" t="inlineStr">
        <is>
          <t>1.OG</t>
        </is>
      </c>
      <c r="B25" s="5" t="inlineStr">
        <is>
          <t>WHG 3</t>
        </is>
      </c>
      <c r="C25" s="5" t="inlineStr">
        <is>
          <t>Zimmer 4</t>
        </is>
      </c>
      <c r="D25" s="6" t="n">
        <v>9.029999999999999</v>
      </c>
      <c r="E25" s="5" t="n"/>
    </row>
    <row r="26">
      <c r="A26" s="5" t="inlineStr">
        <is>
          <t>1.OG</t>
        </is>
      </c>
      <c r="B26" s="5" t="inlineStr">
        <is>
          <t>WHG 3</t>
        </is>
      </c>
      <c r="C26" s="5" t="inlineStr">
        <is>
          <t>Küche</t>
        </is>
      </c>
      <c r="D26" s="6" t="n">
        <v>7.23</v>
      </c>
      <c r="E26" s="5" t="n"/>
    </row>
    <row r="27">
      <c r="A27" s="5" t="inlineStr">
        <is>
          <t>1.OG</t>
        </is>
      </c>
      <c r="B27" s="5" t="inlineStr">
        <is>
          <t>WHG 3</t>
        </is>
      </c>
      <c r="C27" s="5" t="inlineStr">
        <is>
          <t>Bad</t>
        </is>
      </c>
      <c r="D27" s="6" t="n">
        <v>3.06</v>
      </c>
      <c r="E27" s="5" t="n"/>
    </row>
    <row r="28">
      <c r="A28" s="5" t="inlineStr">
        <is>
          <t>1.OG</t>
        </is>
      </c>
      <c r="B28" s="5" t="inlineStr">
        <is>
          <t>WHG 3</t>
        </is>
      </c>
      <c r="C28" s="5" t="inlineStr">
        <is>
          <t>Flur</t>
        </is>
      </c>
      <c r="D28" s="6" t="n">
        <v>7.02</v>
      </c>
      <c r="E28" s="5" t="n"/>
    </row>
    <row r="29">
      <c r="A29" s="5" t="inlineStr">
        <is>
          <t>1.OG</t>
        </is>
      </c>
      <c r="B29" s="5" t="inlineStr">
        <is>
          <t>WHG 3</t>
        </is>
      </c>
      <c r="C29" s="5" t="inlineStr">
        <is>
          <t>Balkon (4,38 m², 50 % angerechnet)</t>
        </is>
      </c>
      <c r="D29" s="6" t="n">
        <v>2.19</v>
      </c>
      <c r="E29" s="5" t="inlineStr">
        <is>
          <t>WoFlV §4: 50 % von 4,38 m²</t>
        </is>
      </c>
    </row>
    <row r="30">
      <c r="A30" s="7" t="n"/>
      <c r="B30" s="7" t="n"/>
      <c r="C30" s="7" t="inlineStr">
        <is>
          <t>Summe WHG 3</t>
        </is>
      </c>
      <c r="D30" s="8">
        <f>SUM(D22:D29)</f>
        <v/>
      </c>
      <c r="E30" s="7" t="n"/>
    </row>
    <row r="31">
      <c r="A31" s="5" t="inlineStr">
        <is>
          <t>1.OG</t>
        </is>
      </c>
      <c r="B31" s="5" t="inlineStr">
        <is>
          <t>WHG 4</t>
        </is>
      </c>
      <c r="C31" s="5" t="inlineStr">
        <is>
          <t>Zimmer 1</t>
        </is>
      </c>
      <c r="D31" s="6" t="n">
        <v>10.66</v>
      </c>
      <c r="E31" s="5" t="n"/>
    </row>
    <row r="32">
      <c r="A32" s="5" t="inlineStr">
        <is>
          <t>1.OG</t>
        </is>
      </c>
      <c r="B32" s="5" t="inlineStr">
        <is>
          <t>WHG 4</t>
        </is>
      </c>
      <c r="C32" s="5" t="inlineStr">
        <is>
          <t>Zimmer 2</t>
        </is>
      </c>
      <c r="D32" s="6" t="n">
        <v>11.55</v>
      </c>
      <c r="E32" s="5" t="n"/>
    </row>
    <row r="33">
      <c r="A33" s="5" t="inlineStr">
        <is>
          <t>1.OG</t>
        </is>
      </c>
      <c r="B33" s="5" t="inlineStr">
        <is>
          <t>WHG 4</t>
        </is>
      </c>
      <c r="C33" s="5" t="inlineStr">
        <is>
          <t>Zimmer 3</t>
        </is>
      </c>
      <c r="D33" s="6" t="n">
        <v>10.23</v>
      </c>
      <c r="E33" s="5" t="n"/>
    </row>
    <row r="34">
      <c r="A34" s="5" t="inlineStr">
        <is>
          <t>1.OG</t>
        </is>
      </c>
      <c r="B34" s="5" t="inlineStr">
        <is>
          <t>WHG 4</t>
        </is>
      </c>
      <c r="C34" s="5" t="inlineStr">
        <is>
          <t>Küche</t>
        </is>
      </c>
      <c r="D34" s="6" t="n">
        <v>5.8</v>
      </c>
      <c r="E34" s="5" t="n"/>
    </row>
    <row r="35">
      <c r="A35" s="5" t="inlineStr">
        <is>
          <t>1.OG</t>
        </is>
      </c>
      <c r="B35" s="5" t="inlineStr">
        <is>
          <t>WHG 4</t>
        </is>
      </c>
      <c r="C35" s="5" t="inlineStr">
        <is>
          <t>Bad</t>
        </is>
      </c>
      <c r="D35" s="6" t="n">
        <v>3.1</v>
      </c>
      <c r="E35" s="5" t="n"/>
    </row>
    <row r="36">
      <c r="A36" s="5" t="inlineStr">
        <is>
          <t>1.OG</t>
        </is>
      </c>
      <c r="B36" s="5" t="inlineStr">
        <is>
          <t>WHG 4</t>
        </is>
      </c>
      <c r="C36" s="5" t="inlineStr">
        <is>
          <t>Flur</t>
        </is>
      </c>
      <c r="D36" s="6" t="n">
        <v>6.97</v>
      </c>
      <c r="E36" s="5" t="n"/>
    </row>
    <row r="37">
      <c r="A37" s="7" t="n"/>
      <c r="B37" s="7" t="n"/>
      <c r="C37" s="7" t="inlineStr">
        <is>
          <t>Summe WHG 4</t>
        </is>
      </c>
      <c r="D37" s="8">
        <f>SUM(D31:D36)</f>
        <v/>
      </c>
      <c r="E37" s="7" t="n"/>
    </row>
    <row r="38">
      <c r="A38" s="5" t="inlineStr">
        <is>
          <t>1.OG</t>
        </is>
      </c>
      <c r="B38" s="5" t="inlineStr">
        <is>
          <t>WHG 5</t>
        </is>
      </c>
      <c r="C38" s="5" t="inlineStr">
        <is>
          <t>Zimmer 1</t>
        </is>
      </c>
      <c r="D38" s="6" t="n">
        <v>9</v>
      </c>
      <c r="E38" s="5" t="n"/>
    </row>
    <row r="39">
      <c r="A39" s="5" t="inlineStr">
        <is>
          <t>1.OG</t>
        </is>
      </c>
      <c r="B39" s="5" t="inlineStr">
        <is>
          <t>WHG 5</t>
        </is>
      </c>
      <c r="C39" s="5" t="inlineStr">
        <is>
          <t>Zimmer 2</t>
        </is>
      </c>
      <c r="D39" s="6" t="n">
        <v>14.87</v>
      </c>
      <c r="E39" s="5" t="n"/>
    </row>
    <row r="40">
      <c r="A40" s="5" t="inlineStr">
        <is>
          <t>1.OG</t>
        </is>
      </c>
      <c r="B40" s="5" t="inlineStr">
        <is>
          <t>WHG 5</t>
        </is>
      </c>
      <c r="C40" s="5" t="inlineStr">
        <is>
          <t>Zimmer 3</t>
        </is>
      </c>
      <c r="D40" s="6" t="n">
        <v>10.91</v>
      </c>
      <c r="E40" s="5" t="n"/>
    </row>
    <row r="41">
      <c r="A41" s="5" t="inlineStr">
        <is>
          <t>1.OG</t>
        </is>
      </c>
      <c r="B41" s="5" t="inlineStr">
        <is>
          <t>WHG 5</t>
        </is>
      </c>
      <c r="C41" s="5" t="inlineStr">
        <is>
          <t>Zimmer 4</t>
        </is>
      </c>
      <c r="D41" s="6" t="n">
        <v>10.41</v>
      </c>
      <c r="E41" s="5" t="n"/>
    </row>
    <row r="42">
      <c r="A42" s="5" t="inlineStr">
        <is>
          <t>1.OG</t>
        </is>
      </c>
      <c r="B42" s="5" t="inlineStr">
        <is>
          <t>WHG 5</t>
        </is>
      </c>
      <c r="C42" s="5" t="inlineStr">
        <is>
          <t>Küche</t>
        </is>
      </c>
      <c r="D42" s="6" t="n">
        <v>5</v>
      </c>
      <c r="E42" s="5" t="n"/>
    </row>
    <row r="43">
      <c r="A43" s="5" t="inlineStr">
        <is>
          <t>1.OG</t>
        </is>
      </c>
      <c r="B43" s="5" t="inlineStr">
        <is>
          <t>WHG 5</t>
        </is>
      </c>
      <c r="C43" s="5" t="inlineStr">
        <is>
          <t>Bad</t>
        </is>
      </c>
      <c r="D43" s="6" t="n">
        <v>3.82</v>
      </c>
      <c r="E43" s="5" t="n"/>
    </row>
    <row r="44">
      <c r="A44" s="5" t="inlineStr">
        <is>
          <t>1.OG</t>
        </is>
      </c>
      <c r="B44" s="5" t="inlineStr">
        <is>
          <t>WHG 5</t>
        </is>
      </c>
      <c r="C44" s="5" t="inlineStr">
        <is>
          <t>Flur</t>
        </is>
      </c>
      <c r="D44" s="6" t="n">
        <v>7.02</v>
      </c>
      <c r="E44" s="5" t="n"/>
    </row>
    <row r="45">
      <c r="A45" s="7" t="n"/>
      <c r="B45" s="7" t="n"/>
      <c r="C45" s="7" t="inlineStr">
        <is>
          <t>Summe WHG 5</t>
        </is>
      </c>
      <c r="D45" s="8">
        <f>SUM(D38:D44)</f>
        <v/>
      </c>
      <c r="E45" s="7" t="n"/>
    </row>
    <row r="46">
      <c r="A46" s="5" t="inlineStr">
        <is>
          <t>2.OG</t>
        </is>
      </c>
      <c r="B46" s="5" t="inlineStr">
        <is>
          <t>WHG 6</t>
        </is>
      </c>
      <c r="C46" s="5" t="inlineStr">
        <is>
          <t>Zimmer 1</t>
        </is>
      </c>
      <c r="D46" s="6" t="n">
        <v>10.88</v>
      </c>
      <c r="E46" s="5" t="n"/>
    </row>
    <row r="47">
      <c r="A47" s="5" t="inlineStr">
        <is>
          <t>2.OG</t>
        </is>
      </c>
      <c r="B47" s="5" t="inlineStr">
        <is>
          <t>WHG 6</t>
        </is>
      </c>
      <c r="C47" s="5" t="inlineStr">
        <is>
          <t>Zimmer 2</t>
        </is>
      </c>
      <c r="D47" s="6" t="n">
        <v>9.6</v>
      </c>
      <c r="E47" s="5" t="n"/>
    </row>
    <row r="48">
      <c r="A48" s="5" t="inlineStr">
        <is>
          <t>2.OG</t>
        </is>
      </c>
      <c r="B48" s="5" t="inlineStr">
        <is>
          <t>WHG 6</t>
        </is>
      </c>
      <c r="C48" s="5" t="inlineStr">
        <is>
          <t>Zimmer 3</t>
        </is>
      </c>
      <c r="D48" s="6" t="n">
        <v>9.6</v>
      </c>
      <c r="E48" s="5" t="n"/>
    </row>
    <row r="49">
      <c r="A49" s="5" t="inlineStr">
        <is>
          <t>2.OG</t>
        </is>
      </c>
      <c r="B49" s="5" t="inlineStr">
        <is>
          <t>WHG 6</t>
        </is>
      </c>
      <c r="C49" s="5" t="inlineStr">
        <is>
          <t>Zimmer 4</t>
        </is>
      </c>
      <c r="D49" s="6" t="n">
        <v>9.029999999999999</v>
      </c>
      <c r="E49" s="5" t="n"/>
    </row>
    <row r="50">
      <c r="A50" s="5" t="inlineStr">
        <is>
          <t>2.OG</t>
        </is>
      </c>
      <c r="B50" s="5" t="inlineStr">
        <is>
          <t>WHG 6</t>
        </is>
      </c>
      <c r="C50" s="5" t="inlineStr">
        <is>
          <t>Küche</t>
        </is>
      </c>
      <c r="D50" s="6" t="n">
        <v>7.23</v>
      </c>
      <c r="E50" s="5" t="n"/>
    </row>
    <row r="51">
      <c r="A51" s="5" t="inlineStr">
        <is>
          <t>2.OG</t>
        </is>
      </c>
      <c r="B51" s="5" t="inlineStr">
        <is>
          <t>WHG 6</t>
        </is>
      </c>
      <c r="C51" s="5" t="inlineStr">
        <is>
          <t>Bad</t>
        </is>
      </c>
      <c r="D51" s="6" t="n">
        <v>3.06</v>
      </c>
      <c r="E51" s="5" t="n"/>
    </row>
    <row r="52">
      <c r="A52" s="5" t="inlineStr">
        <is>
          <t>2.OG</t>
        </is>
      </c>
      <c r="B52" s="5" t="inlineStr">
        <is>
          <t>WHG 6</t>
        </is>
      </c>
      <c r="C52" s="5" t="inlineStr">
        <is>
          <t>Flur</t>
        </is>
      </c>
      <c r="D52" s="6" t="n">
        <v>7.02</v>
      </c>
      <c r="E52" s="5" t="n"/>
    </row>
    <row r="53">
      <c r="A53" s="7" t="n"/>
      <c r="B53" s="7" t="n"/>
      <c r="C53" s="7" t="inlineStr">
        <is>
          <t>Summe WHG 6</t>
        </is>
      </c>
      <c r="D53" s="8">
        <f>SUM(D46:D52)</f>
        <v/>
      </c>
      <c r="E53" s="7" t="n"/>
    </row>
    <row r="54">
      <c r="A54" s="5" t="inlineStr">
        <is>
          <t>2.OG</t>
        </is>
      </c>
      <c r="B54" s="5" t="inlineStr">
        <is>
          <t>WHG 7</t>
        </is>
      </c>
      <c r="C54" s="5" t="inlineStr">
        <is>
          <t>Zimmer 1</t>
        </is>
      </c>
      <c r="D54" s="6" t="n">
        <v>10.66</v>
      </c>
      <c r="E54" s="5" t="n"/>
    </row>
    <row r="55">
      <c r="A55" s="5" t="inlineStr">
        <is>
          <t>2.OG</t>
        </is>
      </c>
      <c r="B55" s="5" t="inlineStr">
        <is>
          <t>WHG 7</t>
        </is>
      </c>
      <c r="C55" s="5" t="inlineStr">
        <is>
          <t>Zimmer 2</t>
        </is>
      </c>
      <c r="D55" s="6" t="n">
        <v>11.55</v>
      </c>
      <c r="E55" s="5" t="n"/>
    </row>
    <row r="56">
      <c r="A56" s="5" t="inlineStr">
        <is>
          <t>2.OG</t>
        </is>
      </c>
      <c r="B56" s="5" t="inlineStr">
        <is>
          <t>WHG 7</t>
        </is>
      </c>
      <c r="C56" s="5" t="inlineStr">
        <is>
          <t>Zimmer 3</t>
        </is>
      </c>
      <c r="D56" s="6" t="n">
        <v>9</v>
      </c>
      <c r="E56" s="5" t="n"/>
    </row>
    <row r="57">
      <c r="A57" s="5" t="inlineStr">
        <is>
          <t>2.OG</t>
        </is>
      </c>
      <c r="B57" s="5" t="inlineStr">
        <is>
          <t>WHG 7</t>
        </is>
      </c>
      <c r="C57" s="5" t="inlineStr">
        <is>
          <t>Küche</t>
        </is>
      </c>
      <c r="D57" s="6" t="n">
        <v>5.8</v>
      </c>
      <c r="E57" s="5" t="n"/>
    </row>
    <row r="58">
      <c r="A58" s="5" t="inlineStr">
        <is>
          <t>2.OG</t>
        </is>
      </c>
      <c r="B58" s="5" t="inlineStr">
        <is>
          <t>WHG 7</t>
        </is>
      </c>
      <c r="C58" s="5" t="inlineStr">
        <is>
          <t>Bad</t>
        </is>
      </c>
      <c r="D58" s="6" t="n">
        <v>3.1</v>
      </c>
      <c r="E58" s="5" t="n"/>
    </row>
    <row r="59">
      <c r="A59" s="5" t="inlineStr">
        <is>
          <t>2.OG</t>
        </is>
      </c>
      <c r="B59" s="5" t="inlineStr">
        <is>
          <t>WHG 7</t>
        </is>
      </c>
      <c r="C59" s="5" t="inlineStr">
        <is>
          <t>Flur</t>
        </is>
      </c>
      <c r="D59" s="6" t="n">
        <v>6.97</v>
      </c>
      <c r="E59" s="5" t="n"/>
    </row>
    <row r="60">
      <c r="A60" s="7" t="n"/>
      <c r="B60" s="7" t="n"/>
      <c r="C60" s="7" t="inlineStr">
        <is>
          <t>Summe WHG 7</t>
        </is>
      </c>
      <c r="D60" s="8">
        <f>SUM(D54:D59)</f>
        <v/>
      </c>
      <c r="E60" s="7" t="n"/>
    </row>
    <row r="61">
      <c r="A61" s="5" t="inlineStr">
        <is>
          <t>2.OG</t>
        </is>
      </c>
      <c r="B61" s="5" t="inlineStr">
        <is>
          <t>WHG 8</t>
        </is>
      </c>
      <c r="C61" s="5" t="inlineStr">
        <is>
          <t>Zimmer 1</t>
        </is>
      </c>
      <c r="D61" s="6" t="n">
        <v>9</v>
      </c>
      <c r="E61" s="5" t="n"/>
    </row>
    <row r="62">
      <c r="A62" s="5" t="inlineStr">
        <is>
          <t>2.OG</t>
        </is>
      </c>
      <c r="B62" s="5" t="inlineStr">
        <is>
          <t>WHG 8</t>
        </is>
      </c>
      <c r="C62" s="5" t="inlineStr">
        <is>
          <t>Zimmer 2</t>
        </is>
      </c>
      <c r="D62" s="6" t="n">
        <v>14.87</v>
      </c>
      <c r="E62" s="5" t="n"/>
    </row>
    <row r="63">
      <c r="A63" s="5" t="inlineStr">
        <is>
          <t>2.OG</t>
        </is>
      </c>
      <c r="B63" s="5" t="inlineStr">
        <is>
          <t>WHG 8</t>
        </is>
      </c>
      <c r="C63" s="5" t="inlineStr">
        <is>
          <t>Zimmer 3</t>
        </is>
      </c>
      <c r="D63" s="6" t="n">
        <v>11</v>
      </c>
      <c r="E63" s="5" t="n"/>
    </row>
    <row r="64">
      <c r="A64" s="5" t="inlineStr">
        <is>
          <t>2.OG</t>
        </is>
      </c>
      <c r="B64" s="5" t="inlineStr">
        <is>
          <t>WHG 8</t>
        </is>
      </c>
      <c r="C64" s="5" t="inlineStr">
        <is>
          <t>Zimmer 4</t>
        </is>
      </c>
      <c r="D64" s="6" t="n">
        <v>9</v>
      </c>
      <c r="E64" s="5" t="n"/>
    </row>
    <row r="65">
      <c r="A65" s="5" t="inlineStr">
        <is>
          <t>2.OG</t>
        </is>
      </c>
      <c r="B65" s="5" t="inlineStr">
        <is>
          <t>WHG 8</t>
        </is>
      </c>
      <c r="C65" s="5" t="inlineStr">
        <is>
          <t>Küche</t>
        </is>
      </c>
      <c r="D65" s="6" t="n">
        <v>5</v>
      </c>
      <c r="E65" s="5" t="n"/>
    </row>
    <row r="66">
      <c r="A66" s="5" t="inlineStr">
        <is>
          <t>2.OG</t>
        </is>
      </c>
      <c r="B66" s="5" t="inlineStr">
        <is>
          <t>WHG 8</t>
        </is>
      </c>
      <c r="C66" s="5" t="inlineStr">
        <is>
          <t>Bad</t>
        </is>
      </c>
      <c r="D66" s="6" t="n">
        <v>3.16</v>
      </c>
      <c r="E66" s="5" t="n"/>
    </row>
    <row r="67">
      <c r="A67" s="5" t="inlineStr">
        <is>
          <t>2.OG</t>
        </is>
      </c>
      <c r="B67" s="5" t="inlineStr">
        <is>
          <t>WHG 8</t>
        </is>
      </c>
      <c r="C67" s="5" t="inlineStr">
        <is>
          <t>Flur</t>
        </is>
      </c>
      <c r="D67" s="6" t="n">
        <v>7.02</v>
      </c>
      <c r="E67" s="5" t="n"/>
    </row>
    <row r="68">
      <c r="A68" s="7" t="n"/>
      <c r="B68" s="7" t="n"/>
      <c r="C68" s="7" t="inlineStr">
        <is>
          <t>Summe WHG 8</t>
        </is>
      </c>
      <c r="D68" s="8">
        <f>SUM(D61:D67)</f>
        <v/>
      </c>
      <c r="E68" s="7" t="n"/>
    </row>
    <row r="69">
      <c r="A69" s="5" t="inlineStr">
        <is>
          <t>DG</t>
        </is>
      </c>
      <c r="B69" s="5" t="inlineStr">
        <is>
          <t>WHG 9</t>
        </is>
      </c>
      <c r="C69" s="5" t="inlineStr">
        <is>
          <t>Zimmer 1</t>
        </is>
      </c>
      <c r="D69" s="6" t="n">
        <v>8.619999999999999</v>
      </c>
      <c r="E69" s="5" t="n"/>
    </row>
    <row r="70">
      <c r="A70" s="5" t="inlineStr">
        <is>
          <t>DG</t>
        </is>
      </c>
      <c r="B70" s="5" t="inlineStr">
        <is>
          <t>WHG 9</t>
        </is>
      </c>
      <c r="C70" s="5" t="inlineStr">
        <is>
          <t>Zimmer 2</t>
        </is>
      </c>
      <c r="D70" s="6" t="n">
        <v>11.08</v>
      </c>
      <c r="E70" s="5" t="n"/>
    </row>
    <row r="71">
      <c r="A71" s="5" t="inlineStr">
        <is>
          <t>DG</t>
        </is>
      </c>
      <c r="B71" s="5" t="inlineStr">
        <is>
          <t>WHG 9</t>
        </is>
      </c>
      <c r="C71" s="5" t="inlineStr">
        <is>
          <t>Zimmer 3</t>
        </is>
      </c>
      <c r="D71" s="6" t="n">
        <v>10.13</v>
      </c>
      <c r="E71" s="5" t="n"/>
    </row>
    <row r="72">
      <c r="A72" s="5" t="inlineStr">
        <is>
          <t>DG</t>
        </is>
      </c>
      <c r="B72" s="5" t="inlineStr">
        <is>
          <t>WHG 9</t>
        </is>
      </c>
      <c r="C72" s="5" t="inlineStr">
        <is>
          <t>Zimmer 4</t>
        </is>
      </c>
      <c r="D72" s="6" t="n">
        <v>9.640000000000001</v>
      </c>
      <c r="E72" s="5" t="n"/>
    </row>
    <row r="73">
      <c r="A73" s="5" t="inlineStr">
        <is>
          <t>DG</t>
        </is>
      </c>
      <c r="B73" s="5" t="inlineStr">
        <is>
          <t>WHG 9</t>
        </is>
      </c>
      <c r="C73" s="5" t="inlineStr">
        <is>
          <t>Küche</t>
        </is>
      </c>
      <c r="D73" s="6" t="n">
        <v>8.880000000000001</v>
      </c>
      <c r="E73" s="5" t="n"/>
    </row>
    <row r="74">
      <c r="A74" s="5" t="inlineStr">
        <is>
          <t>DG</t>
        </is>
      </c>
      <c r="B74" s="5" t="inlineStr">
        <is>
          <t>WHG 9</t>
        </is>
      </c>
      <c r="C74" s="5" t="inlineStr">
        <is>
          <t>Bad</t>
        </is>
      </c>
      <c r="D74" s="6" t="n">
        <v>3.91</v>
      </c>
      <c r="E74" s="5" t="n"/>
    </row>
    <row r="75">
      <c r="A75" s="5" t="inlineStr">
        <is>
          <t>DG</t>
        </is>
      </c>
      <c r="B75" s="5" t="inlineStr">
        <is>
          <t>WHG 9</t>
        </is>
      </c>
      <c r="C75" s="5" t="inlineStr">
        <is>
          <t>Flur</t>
        </is>
      </c>
      <c r="D75" s="6" t="n">
        <v>8.289999999999999</v>
      </c>
      <c r="E75" s="5" t="n"/>
    </row>
    <row r="76">
      <c r="A76" s="7" t="n"/>
      <c r="B76" s="7" t="n"/>
      <c r="C76" s="7" t="inlineStr">
        <is>
          <t>Summe WHG 9</t>
        </is>
      </c>
      <c r="D76" s="8">
        <f>SUM(D69:D75)</f>
        <v/>
      </c>
      <c r="E76" s="7" t="n"/>
    </row>
    <row r="77">
      <c r="A77" s="5" t="inlineStr">
        <is>
          <t>DG</t>
        </is>
      </c>
      <c r="B77" s="5" t="inlineStr">
        <is>
          <t>WHG 10</t>
        </is>
      </c>
      <c r="C77" s="5" t="inlineStr">
        <is>
          <t>Zimmer 1</t>
        </is>
      </c>
      <c r="D77" s="6" t="n">
        <v>7.53</v>
      </c>
      <c r="E77" s="5" t="n"/>
    </row>
    <row r="78">
      <c r="A78" s="5" t="inlineStr">
        <is>
          <t>DG</t>
        </is>
      </c>
      <c r="B78" s="5" t="inlineStr">
        <is>
          <t>WHG 10</t>
        </is>
      </c>
      <c r="C78" s="5" t="inlineStr">
        <is>
          <t>Zimmer 2</t>
        </is>
      </c>
      <c r="D78" s="6" t="n">
        <v>8.720000000000001</v>
      </c>
      <c r="E78" s="5" t="n"/>
    </row>
    <row r="79">
      <c r="A79" s="5" t="inlineStr">
        <is>
          <t>DG</t>
        </is>
      </c>
      <c r="B79" s="5" t="inlineStr">
        <is>
          <t>WHG 10</t>
        </is>
      </c>
      <c r="C79" s="5" t="inlineStr">
        <is>
          <t>Zimmer 3</t>
        </is>
      </c>
      <c r="D79" s="6" t="n">
        <v>9.17</v>
      </c>
      <c r="E79" s="5" t="n"/>
    </row>
    <row r="80">
      <c r="A80" s="5" t="inlineStr">
        <is>
          <t>DG</t>
        </is>
      </c>
      <c r="B80" s="5" t="inlineStr">
        <is>
          <t>WHG 10</t>
        </is>
      </c>
      <c r="C80" s="5" t="inlineStr">
        <is>
          <t>Zimmer 4</t>
        </is>
      </c>
      <c r="D80" s="6" t="n">
        <v>10.23</v>
      </c>
      <c r="E80" s="5" t="n"/>
    </row>
    <row r="81">
      <c r="A81" s="5" t="inlineStr">
        <is>
          <t>DG</t>
        </is>
      </c>
      <c r="B81" s="5" t="inlineStr">
        <is>
          <t>WHG 10</t>
        </is>
      </c>
      <c r="C81" s="5" t="inlineStr">
        <is>
          <t>Küche</t>
        </is>
      </c>
      <c r="D81" s="6" t="n">
        <v>4.39</v>
      </c>
      <c r="E81" s="5" t="n"/>
    </row>
    <row r="82">
      <c r="A82" s="5" t="inlineStr">
        <is>
          <t>DG</t>
        </is>
      </c>
      <c r="B82" s="5" t="inlineStr">
        <is>
          <t>WHG 10</t>
        </is>
      </c>
      <c r="C82" s="5" t="inlineStr">
        <is>
          <t>Bad</t>
        </is>
      </c>
      <c r="D82" s="6" t="n">
        <v>4.88</v>
      </c>
      <c r="E82" s="5" t="n"/>
    </row>
    <row r="83">
      <c r="A83" s="5" t="inlineStr">
        <is>
          <t>DG</t>
        </is>
      </c>
      <c r="B83" s="5" t="inlineStr">
        <is>
          <t>WHG 10</t>
        </is>
      </c>
      <c r="C83" s="5" t="inlineStr">
        <is>
          <t>Flur</t>
        </is>
      </c>
      <c r="D83" s="6" t="n">
        <v>9.539999999999999</v>
      </c>
      <c r="E83" s="5" t="n"/>
    </row>
    <row r="84">
      <c r="A84" s="7" t="n"/>
      <c r="B84" s="7" t="n"/>
      <c r="C84" s="7" t="inlineStr">
        <is>
          <t>Summe WHG 10</t>
        </is>
      </c>
      <c r="D84" s="8">
        <f>SUM(D77:D83)</f>
        <v/>
      </c>
      <c r="E84" s="7" t="n"/>
    </row>
    <row r="85">
      <c r="A85" s="5" t="inlineStr">
        <is>
          <t>EG</t>
        </is>
      </c>
      <c r="B85" s="5" t="inlineStr">
        <is>
          <t>Gewerbe</t>
        </is>
      </c>
      <c r="C85" s="5" t="inlineStr">
        <is>
          <t>Laden</t>
        </is>
      </c>
      <c r="D85" s="6" t="n">
        <v>17.51</v>
      </c>
      <c r="E85" s="5" t="n"/>
    </row>
    <row r="86">
      <c r="A86" s="5" t="inlineStr">
        <is>
          <t>EG</t>
        </is>
      </c>
      <c r="B86" s="5" t="inlineStr">
        <is>
          <t>Gewerbe</t>
        </is>
      </c>
      <c r="C86" s="5" t="inlineStr">
        <is>
          <t>Ladenzimmer</t>
        </is>
      </c>
      <c r="D86" s="6" t="n">
        <v>13.19</v>
      </c>
      <c r="E86" s="5" t="n"/>
    </row>
    <row r="87">
      <c r="A87" s="5" t="inlineStr">
        <is>
          <t>EG</t>
        </is>
      </c>
      <c r="B87" s="5" t="inlineStr">
        <is>
          <t>Gewerbe</t>
        </is>
      </c>
      <c r="C87" s="5" t="inlineStr">
        <is>
          <t>Bad</t>
        </is>
      </c>
      <c r="D87" s="6" t="n">
        <v>1.5</v>
      </c>
      <c r="E87" s="5" t="n"/>
    </row>
    <row r="88">
      <c r="A88" s="7" t="n"/>
      <c r="B88" s="7" t="n"/>
      <c r="C88" s="7" t="inlineStr">
        <is>
          <t>Summe Gewerbe</t>
        </is>
      </c>
      <c r="D88" s="8">
        <f>SUM(D85:D87)</f>
        <v/>
      </c>
      <c r="E88" s="7" t="n"/>
    </row>
    <row r="89">
      <c r="A89" s="9" t="n"/>
      <c r="B89" s="9" t="n"/>
      <c r="C89" s="9" t="inlineStr">
        <is>
          <t>Wohnfläche gesamt (WHG 1–10)</t>
        </is>
      </c>
      <c r="D89" s="10">
        <f>D13+D21+D30+D37+D45+D53+D60+D68+D76+D84</f>
        <v/>
      </c>
      <c r="E89" s="9" t="n"/>
    </row>
    <row r="90">
      <c r="A90" s="9" t="n"/>
      <c r="B90" s="9" t="n"/>
      <c r="C90" s="9" t="inlineStr">
        <is>
          <t>Nutzfläche Gewerbe</t>
        </is>
      </c>
      <c r="D90" s="10">
        <f>D88</f>
        <v/>
      </c>
      <c r="E90" s="9" t="n"/>
    </row>
    <row r="91">
      <c r="A91" s="9" t="n"/>
      <c r="B91" s="9" t="n"/>
      <c r="C91" s="9" t="inlineStr">
        <is>
          <t>Gesamtfläche Objekt</t>
        </is>
      </c>
      <c r="D91" s="10">
        <f>D89+D88</f>
        <v/>
      </c>
      <c r="E91" s="9" t="n"/>
    </row>
    <row r="93">
      <c r="A93" s="11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tabSelected="1" zoomScale="125" zoomScaleNormal="100" workbookViewId="0">
      <pane ySplit="7" topLeftCell="A8" activePane="bottomLeft" state="frozen"/>
      <selection pane="bottomLeft" activeCell="G29" sqref="G29"/>
    </sheetView>
  </sheetViews>
  <sheetFormatPr baseColWidth="10" defaultColWidth="8.6640625" defaultRowHeight="15"/>
  <cols>
    <col width="10" customWidth="1" min="1" max="1"/>
    <col width="9" customWidth="1" min="2" max="2"/>
    <col width="8" customWidth="1" min="3" max="3"/>
    <col width="13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11"/>
    <col width="11" customWidth="1" min="12" max="12"/>
    <col width="15" customWidth="1" min="13" max="13"/>
    <col width="11" customWidth="1" min="14" max="14"/>
    <col width="2" customWidth="1" min="15" max="15"/>
    <col width="15" customWidth="1" min="16" max="16"/>
    <col width="2" customWidth="1" min="17" max="17"/>
    <col width="12" customWidth="1" min="18" max="18"/>
  </cols>
  <sheetData>
    <row r="1" ht="18" customHeight="1">
      <c r="A1" s="1" t="inlineStr">
        <is>
          <t>Wohnungsliste mit Mietkalkulation (WG-Zimmer, kalt) – FINAL / Stand Rev#5</t>
        </is>
      </c>
    </row>
    <row r="2">
      <c r="A2" s="2" t="inlineStr">
        <is>
          <t>Ulmer Str. 183, 86156 Augsburg – Vermietung über Coliviq</t>
        </is>
      </c>
    </row>
    <row r="4">
      <c r="A4" s="12" t="inlineStr">
        <is>
          <t>Miete Zimmer &lt; 10 m² (€/Monat kalt):</t>
        </is>
      </c>
      <c r="D4" s="13" t="n">
        <v>470</v>
      </c>
    </row>
    <row r="5">
      <c r="A5" s="12" t="inlineStr">
        <is>
          <t>Miete Zimmer ≥ 10 m² (€/Monat kalt):</t>
        </is>
      </c>
      <c r="D5" s="13" t="n">
        <v>510</v>
      </c>
    </row>
    <row r="7" ht="26" customHeight="1">
      <c r="A7" s="14" t="inlineStr">
        <is>
          <t>Einheit</t>
        </is>
      </c>
      <c r="B7" s="14" t="inlineStr">
        <is>
          <t>Geschoss</t>
        </is>
      </c>
      <c r="C7" s="14" t="inlineStr">
        <is>
          <t>Zimmer</t>
        </is>
      </c>
      <c r="D7" s="14" t="inlineStr">
        <is>
          <t>Wohnfläche (m²)</t>
        </is>
      </c>
      <c r="E7" s="14" t="inlineStr">
        <is>
          <t>Zi. 1 (m²)</t>
        </is>
      </c>
      <c r="F7" s="14" t="inlineStr">
        <is>
          <t>Miete Zi. 1 (€)</t>
        </is>
      </c>
      <c r="G7" s="14" t="inlineStr">
        <is>
          <t>Zi. 2 (m²)</t>
        </is>
      </c>
      <c r="H7" s="14" t="inlineStr">
        <is>
          <t>Miete Zi. 2 (€)</t>
        </is>
      </c>
      <c r="I7" s="14" t="inlineStr">
        <is>
          <t>Zi. 3 (m²)</t>
        </is>
      </c>
      <c r="J7" s="14" t="inlineStr">
        <is>
          <t>Miete Zi. 3 (€)</t>
        </is>
      </c>
      <c r="K7" s="14" t="inlineStr">
        <is>
          <t>Zi. 4 (m²)</t>
        </is>
      </c>
      <c r="L7" s="14" t="inlineStr">
        <is>
          <t>Miete Zi. 4 (€)</t>
        </is>
      </c>
      <c r="M7" s="14" t="inlineStr">
        <is>
          <t>Kaltmiete gesamt (€/Monat)</t>
        </is>
      </c>
      <c r="N7" s="14" t="inlineStr">
        <is>
          <t>Miete (€/m²)</t>
        </is>
      </c>
      <c r="P7" s="14" t="inlineStr">
        <is>
          <t>Finale KP</t>
        </is>
      </c>
      <c r="R7" s="14" t="inlineStr">
        <is>
          <t>qm Preis</t>
        </is>
      </c>
      <c r="T7" s="14" t="inlineStr">
        <is>
          <t>Rendite</t>
        </is>
      </c>
    </row>
    <row r="8">
      <c r="A8" s="15" t="inlineStr">
        <is>
          <t>WHG 1</t>
        </is>
      </c>
      <c r="B8" s="5" t="inlineStr">
        <is>
          <t>EG</t>
        </is>
      </c>
      <c r="C8" s="16" t="n">
        <v>4</v>
      </c>
      <c r="D8" s="17">
        <f>Wohnflächenberechnung!D13</f>
        <v/>
      </c>
      <c r="E8" s="17">
        <f>Wohnflächenberechnung!D6</f>
        <v/>
      </c>
      <c r="F8" s="18">
        <f>IF(E8&lt;10,$D$4,$D$5)</f>
        <v/>
      </c>
      <c r="G8" s="17">
        <f>Wohnflächenberechnung!D7</f>
        <v/>
      </c>
      <c r="H8" s="18">
        <f>IF(G8&lt;10,$D$4,$D$5)</f>
        <v/>
      </c>
      <c r="I8" s="17">
        <f>Wohnflächenberechnung!D8</f>
        <v/>
      </c>
      <c r="J8" s="18">
        <f>IF(I8&lt;10,$D$4,$D$5)</f>
        <v/>
      </c>
      <c r="K8" s="17">
        <f>Wohnflächenberechnung!D9</f>
        <v/>
      </c>
      <c r="L8" s="18">
        <f>IF(K8&lt;10,$D$4,$D$5)</f>
        <v/>
      </c>
      <c r="M8" s="19">
        <f>SUM(F8,H8,J8,L8)</f>
        <v/>
      </c>
      <c r="N8" s="20">
        <f>M8/D8</f>
        <v/>
      </c>
      <c r="P8" s="21" t="n">
        <v>425700</v>
      </c>
      <c r="R8" s="18">
        <f>P8/D8</f>
        <v/>
      </c>
      <c r="T8" s="25">
        <f>M8*12/P8</f>
        <v/>
      </c>
    </row>
    <row r="9">
      <c r="A9" s="15" t="inlineStr">
        <is>
          <t>WHG 2</t>
        </is>
      </c>
      <c r="B9" s="5" t="inlineStr">
        <is>
          <t>EG</t>
        </is>
      </c>
      <c r="C9" s="16" t="n">
        <v>4</v>
      </c>
      <c r="D9" s="17">
        <f>Wohnflächenberechnung!D21</f>
        <v/>
      </c>
      <c r="E9" s="17">
        <f>Wohnflächenberechnung!D14</f>
        <v/>
      </c>
      <c r="F9" s="18">
        <f>IF(E9&lt;10,$D$4,$D$5)</f>
        <v/>
      </c>
      <c r="G9" s="17">
        <f>Wohnflächenberechnung!D15</f>
        <v/>
      </c>
      <c r="H9" s="18">
        <f>IF(G9&lt;10,$D$4,$D$5)</f>
        <v/>
      </c>
      <c r="I9" s="17">
        <f>Wohnflächenberechnung!D16</f>
        <v/>
      </c>
      <c r="J9" s="18">
        <f>IF(I9&lt;10,$D$4,$D$5)</f>
        <v/>
      </c>
      <c r="K9" s="17">
        <f>Wohnflächenberechnung!D17</f>
        <v/>
      </c>
      <c r="L9" s="18">
        <f>IF(K9&lt;10,$D$4,$D$5)</f>
        <v/>
      </c>
      <c r="M9" s="19">
        <f>SUM(F9,H9,J9,L9)</f>
        <v/>
      </c>
      <c r="N9" s="20">
        <f>M9/D9</f>
        <v/>
      </c>
      <c r="P9" s="21" t="n">
        <v>376900</v>
      </c>
      <c r="R9" s="18">
        <f>P9/D9</f>
        <v/>
      </c>
      <c r="T9" s="25">
        <f>M9*12/P9</f>
        <v/>
      </c>
    </row>
    <row r="10">
      <c r="A10" s="15" t="inlineStr">
        <is>
          <t>WHG 3</t>
        </is>
      </c>
      <c r="B10" s="5" t="inlineStr">
        <is>
          <t>1.OG</t>
        </is>
      </c>
      <c r="C10" s="16" t="n">
        <v>4</v>
      </c>
      <c r="D10" s="17">
        <f>Wohnflächenberechnung!D30</f>
        <v/>
      </c>
      <c r="E10" s="17">
        <f>Wohnflächenberechnung!D22</f>
        <v/>
      </c>
      <c r="F10" s="18">
        <f>IF(E10&lt;10,$D$4,$D$5)</f>
        <v/>
      </c>
      <c r="G10" s="17">
        <f>Wohnflächenberechnung!D23</f>
        <v/>
      </c>
      <c r="H10" s="18">
        <f>IF(G10&lt;10,$D$4,$D$5)</f>
        <v/>
      </c>
      <c r="I10" s="17">
        <f>Wohnflächenberechnung!D24</f>
        <v/>
      </c>
      <c r="J10" s="18">
        <f>IF(I10&lt;10,$D$4,$D$5)</f>
        <v/>
      </c>
      <c r="K10" s="17">
        <f>Wohnflächenberechnung!D25</f>
        <v/>
      </c>
      <c r="L10" s="18">
        <f>IF(K10&lt;10,$D$4,$D$5)</f>
        <v/>
      </c>
      <c r="M10" s="19">
        <f>SUM(F10,H10,J10,L10)</f>
        <v/>
      </c>
      <c r="N10" s="20">
        <f>M10/D10</f>
        <v/>
      </c>
      <c r="P10" s="21" t="n">
        <v>383700</v>
      </c>
      <c r="R10" s="18">
        <f>P10/D10</f>
        <v/>
      </c>
      <c r="T10" s="25">
        <f>M10*12/P10</f>
        <v/>
      </c>
    </row>
    <row r="11">
      <c r="A11" s="15" t="inlineStr">
        <is>
          <t>WHG 4</t>
        </is>
      </c>
      <c r="B11" s="5" t="inlineStr">
        <is>
          <t>1.OG</t>
        </is>
      </c>
      <c r="C11" s="16" t="n">
        <v>3</v>
      </c>
      <c r="D11" s="17">
        <f>Wohnflächenberechnung!D37</f>
        <v/>
      </c>
      <c r="E11" s="17">
        <f>Wohnflächenberechnung!D31</f>
        <v/>
      </c>
      <c r="F11" s="18">
        <f>IF(E11&lt;10,$D$4,$D$5)</f>
        <v/>
      </c>
      <c r="G11" s="17">
        <f>Wohnflächenberechnung!D32</f>
        <v/>
      </c>
      <c r="H11" s="18">
        <f>IF(G11&lt;10,$D$4,$D$5)</f>
        <v/>
      </c>
      <c r="I11" s="17">
        <f>Wohnflächenberechnung!D33</f>
        <v/>
      </c>
      <c r="J11" s="18">
        <f>IF(I11&lt;10,$D$4,$D$5)</f>
        <v/>
      </c>
      <c r="K11" s="16" t="inlineStr">
        <is>
          <t>–</t>
        </is>
      </c>
      <c r="L11" s="16" t="inlineStr">
        <is>
          <t>–</t>
        </is>
      </c>
      <c r="M11" s="19">
        <f>SUM(F11,H11,J11,L11)</f>
        <v/>
      </c>
      <c r="N11" s="20">
        <f>M11/D11</f>
        <v/>
      </c>
      <c r="P11" s="21" t="n">
        <v>318800</v>
      </c>
      <c r="R11" s="18">
        <f>P11/D11</f>
        <v/>
      </c>
      <c r="T11" s="25">
        <f>M11*12/P11</f>
        <v/>
      </c>
    </row>
    <row r="12">
      <c r="A12" s="15" t="inlineStr">
        <is>
          <t>WHG 5</t>
        </is>
      </c>
      <c r="B12" s="5" t="inlineStr">
        <is>
          <t>1.OG</t>
        </is>
      </c>
      <c r="C12" s="16" t="n">
        <v>4</v>
      </c>
      <c r="D12" s="17">
        <f>Wohnflächenberechnung!D45</f>
        <v/>
      </c>
      <c r="E12" s="17">
        <f>Wohnflächenberechnung!D38</f>
        <v/>
      </c>
      <c r="F12" s="18">
        <f>IF(E12&lt;10,$D$4,$D$5)</f>
        <v/>
      </c>
      <c r="G12" s="17">
        <f>Wohnflächenberechnung!D39</f>
        <v/>
      </c>
      <c r="H12" s="18">
        <f>IF(G12&lt;10,$D$4,$D$5)</f>
        <v/>
      </c>
      <c r="I12" s="17">
        <f>Wohnflächenberechnung!D40</f>
        <v/>
      </c>
      <c r="J12" s="18">
        <f>IF(I12&lt;10,$D$4,$D$5)</f>
        <v/>
      </c>
      <c r="K12" s="17">
        <f>Wohnflächenberechnung!D41</f>
        <v/>
      </c>
      <c r="L12" s="18">
        <f>IF(K12&lt;10,$D$4,$D$5)</f>
        <v/>
      </c>
      <c r="M12" s="19">
        <f>SUM(F12,H12,J12,L12)</f>
        <v/>
      </c>
      <c r="N12" s="20">
        <f>M12/D12</f>
        <v/>
      </c>
      <c r="P12" s="21" t="n">
        <v>402600</v>
      </c>
      <c r="R12" s="18">
        <f>P12/D12</f>
        <v/>
      </c>
      <c r="T12" s="25">
        <f>M12*12/P12</f>
        <v/>
      </c>
    </row>
    <row r="13">
      <c r="A13" s="15" t="inlineStr">
        <is>
          <t>WHG 6</t>
        </is>
      </c>
      <c r="B13" s="5" t="inlineStr">
        <is>
          <t>2.OG</t>
        </is>
      </c>
      <c r="C13" s="16" t="n">
        <v>4</v>
      </c>
      <c r="D13" s="17">
        <f>Wohnflächenberechnung!D53</f>
        <v/>
      </c>
      <c r="E13" s="17">
        <f>Wohnflächenberechnung!D46</f>
        <v/>
      </c>
      <c r="F13" s="18">
        <f>IF(E13&lt;10,$D$4,$D$5)</f>
        <v/>
      </c>
      <c r="G13" s="17">
        <f>Wohnflächenberechnung!D47</f>
        <v/>
      </c>
      <c r="H13" s="18">
        <f>IF(G13&lt;10,$D$4,$D$5)</f>
        <v/>
      </c>
      <c r="I13" s="17">
        <f>Wohnflächenberechnung!D48</f>
        <v/>
      </c>
      <c r="J13" s="18">
        <f>IF(I13&lt;10,$D$4,$D$5)</f>
        <v/>
      </c>
      <c r="K13" s="17">
        <f>Wohnflächenberechnung!D49</f>
        <v/>
      </c>
      <c r="L13" s="18">
        <f>IF(K13&lt;10,$D$4,$D$5)</f>
        <v/>
      </c>
      <c r="M13" s="19">
        <f>SUM(F13,H13,J13,L13)</f>
        <v/>
      </c>
      <c r="N13" s="20">
        <f>M13/D13</f>
        <v/>
      </c>
      <c r="P13" s="21" t="n">
        <v>372300</v>
      </c>
      <c r="R13" s="18">
        <f>P13/D13</f>
        <v/>
      </c>
      <c r="T13" s="25">
        <f>M13*12/P13</f>
        <v/>
      </c>
    </row>
    <row r="14">
      <c r="A14" s="15" t="inlineStr">
        <is>
          <t>WHG 7</t>
        </is>
      </c>
      <c r="B14" s="5" t="inlineStr">
        <is>
          <t>2.OG</t>
        </is>
      </c>
      <c r="C14" s="16" t="n">
        <v>3</v>
      </c>
      <c r="D14" s="17">
        <f>Wohnflächenberechnung!D60</f>
        <v/>
      </c>
      <c r="E14" s="17">
        <f>Wohnflächenberechnung!D54</f>
        <v/>
      </c>
      <c r="F14" s="18">
        <f>IF(E14&lt;10,$D$4,$D$5)</f>
        <v/>
      </c>
      <c r="G14" s="17">
        <f>Wohnflächenberechnung!D55</f>
        <v/>
      </c>
      <c r="H14" s="18">
        <f>IF(G14&lt;10,$D$4,$D$5)</f>
        <v/>
      </c>
      <c r="I14" s="17">
        <f>Wohnflächenberechnung!D56</f>
        <v/>
      </c>
      <c r="J14" s="18">
        <f>IF(I14&lt;10,$D$4,$D$5)</f>
        <v/>
      </c>
      <c r="K14" s="16" t="inlineStr">
        <is>
          <t>–</t>
        </is>
      </c>
      <c r="L14" s="16" t="inlineStr">
        <is>
          <t>–</t>
        </is>
      </c>
      <c r="M14" s="19">
        <f>SUM(F14,H14,J14,L14)</f>
        <v/>
      </c>
      <c r="N14" s="20">
        <f>M14/D14</f>
        <v/>
      </c>
      <c r="P14" s="21" t="n">
        <v>310700</v>
      </c>
      <c r="R14" s="18">
        <f>P14/D14</f>
        <v/>
      </c>
      <c r="T14" s="25">
        <f>M14*12/P14</f>
        <v/>
      </c>
    </row>
    <row r="15">
      <c r="A15" s="15" t="inlineStr">
        <is>
          <t>WHG 8</t>
        </is>
      </c>
      <c r="B15" s="5" t="inlineStr">
        <is>
          <t>2.OG</t>
        </is>
      </c>
      <c r="C15" s="16" t="n">
        <v>4</v>
      </c>
      <c r="D15" s="17">
        <f>Wohnflächenberechnung!D68</f>
        <v/>
      </c>
      <c r="E15" s="17">
        <f>Wohnflächenberechnung!D61</f>
        <v/>
      </c>
      <c r="F15" s="18">
        <f>IF(E15&lt;10,$D$4,$D$5)</f>
        <v/>
      </c>
      <c r="G15" s="17">
        <f>Wohnflächenberechnung!D62</f>
        <v/>
      </c>
      <c r="H15" s="18">
        <f>IF(G15&lt;10,$D$4,$D$5)</f>
        <v/>
      </c>
      <c r="I15" s="17">
        <f>Wohnflächenberechnung!D63</f>
        <v/>
      </c>
      <c r="J15" s="18">
        <f>IF(I15&lt;10,$D$4,$D$5)</f>
        <v/>
      </c>
      <c r="K15" s="17">
        <f>Wohnflächenberechnung!D64</f>
        <v/>
      </c>
      <c r="L15" s="18">
        <f>IF(K15&lt;10,$D$4,$D$5)</f>
        <v/>
      </c>
      <c r="M15" s="19">
        <f>SUM(F15,H15,J15,L15)</f>
        <v/>
      </c>
      <c r="N15" s="20">
        <f>M15/D15</f>
        <v/>
      </c>
      <c r="P15" s="21" t="n">
        <v>389700</v>
      </c>
      <c r="R15" s="18">
        <f>P15/D15</f>
        <v/>
      </c>
      <c r="T15" s="25">
        <f>M15*12/P15</f>
        <v/>
      </c>
    </row>
    <row r="16">
      <c r="A16" s="15" t="inlineStr">
        <is>
          <t>WHG 9</t>
        </is>
      </c>
      <c r="B16" s="5" t="inlineStr">
        <is>
          <t>DG</t>
        </is>
      </c>
      <c r="C16" s="16" t="n">
        <v>4</v>
      </c>
      <c r="D16" s="17">
        <f>Wohnflächenberechnung!D76</f>
        <v/>
      </c>
      <c r="E16" s="17">
        <f>Wohnflächenberechnung!D69</f>
        <v/>
      </c>
      <c r="F16" s="18">
        <f>IF(E16&lt;10,$D$4,$D$5)</f>
        <v/>
      </c>
      <c r="G16" s="17">
        <f>Wohnflächenberechnung!D70</f>
        <v/>
      </c>
      <c r="H16" s="18">
        <f>IF(G16&lt;10,$D$4,$D$5)</f>
        <v/>
      </c>
      <c r="I16" s="17">
        <f>Wohnflächenberechnung!D71</f>
        <v/>
      </c>
      <c r="J16" s="18">
        <f>IF(I16&lt;10,$D$4,$D$5)</f>
        <v/>
      </c>
      <c r="K16" s="17">
        <f>Wohnflächenberechnung!D72</f>
        <v/>
      </c>
      <c r="L16" s="18">
        <f>IF(K16&lt;10,$D$4,$D$5)</f>
        <v/>
      </c>
      <c r="M16" s="19">
        <f>SUM(F16,H16,J16,L16)</f>
        <v/>
      </c>
      <c r="N16" s="20">
        <f>M16/D16</f>
        <v/>
      </c>
      <c r="P16" s="21" t="n">
        <v>399300</v>
      </c>
      <c r="R16" s="18">
        <f>P16/D16</f>
        <v/>
      </c>
      <c r="T16" s="25">
        <f>M16*12/P16</f>
        <v/>
      </c>
    </row>
    <row r="17">
      <c r="A17" s="15" t="inlineStr">
        <is>
          <t>WHG 10</t>
        </is>
      </c>
      <c r="B17" s="5" t="inlineStr">
        <is>
          <t>DG</t>
        </is>
      </c>
      <c r="C17" s="16" t="n">
        <v>4</v>
      </c>
      <c r="D17" s="17">
        <f>Wohnflächenberechnung!D84</f>
        <v/>
      </c>
      <c r="E17" s="17">
        <f>Wohnflächenberechnung!D77</f>
        <v/>
      </c>
      <c r="F17" s="18">
        <f>IF(E17&lt;10,$D$4,$D$5)</f>
        <v/>
      </c>
      <c r="G17" s="17">
        <f>Wohnflächenberechnung!D78</f>
        <v/>
      </c>
      <c r="H17" s="18">
        <f>IF(G17&lt;10,$D$4,$D$5)</f>
        <v/>
      </c>
      <c r="I17" s="17">
        <f>Wohnflächenberechnung!D79</f>
        <v/>
      </c>
      <c r="J17" s="18">
        <f>IF(I17&lt;10,$D$4,$D$5)</f>
        <v/>
      </c>
      <c r="K17" s="17">
        <f>Wohnflächenberechnung!D80</f>
        <v/>
      </c>
      <c r="L17" s="18">
        <f>IF(K17&lt;10,$D$4,$D$5)</f>
        <v/>
      </c>
      <c r="M17" s="19">
        <f>SUM(F17,H17,J17,L17)</f>
        <v/>
      </c>
      <c r="N17" s="20">
        <f>M17/D17</f>
        <v/>
      </c>
      <c r="P17" s="21" t="n">
        <v>359300</v>
      </c>
      <c r="R17" s="18">
        <f>P17/D17</f>
        <v/>
      </c>
      <c r="T17" s="25">
        <f>M17*12/P17</f>
        <v/>
      </c>
    </row>
    <row r="18">
      <c r="A18" s="9" t="inlineStr">
        <is>
          <t>Gesamt</t>
        </is>
      </c>
      <c r="B18" s="9" t="n"/>
      <c r="C18" s="22">
        <f>SUM(C8:C17)</f>
        <v/>
      </c>
      <c r="D18" s="10">
        <f>SUM(D8:D17)</f>
        <v/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23">
        <f>SUM(M8:M17)</f>
        <v/>
      </c>
      <c r="N18" s="24">
        <f>M18/D18</f>
        <v/>
      </c>
      <c r="P18" s="24">
        <f>SUM(P8:P17)</f>
        <v/>
      </c>
    </row>
    <row r="20">
      <c r="A20" s="3" t="inlineStr">
        <is>
          <t>Gewerbeeinheit (EG): 32,20 m² – Laden 17,51 / Ladenzimmer 13,19 / Bad 1,50 m². Kaltmiete Gewerbe: 1.000 €/Monat.</t>
        </is>
      </c>
    </row>
    <row r="21">
      <c r="A21" s="3" t="inlineStr">
        <is>
          <t>Gesamt-Sollmiete inkl. Gewerbe: 19.660 €/Monat = 235.920 €/Jahr. Summe Einzel-KP WHG 1–10 (ohne Gewerbe): siehe Zeile Gesamt.</t>
        </is>
      </c>
    </row>
    <row r="22">
      <c r="A22" s="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7" customWidth="1" min="4" max="4"/>
    <col width="10" customWidth="1" min="5" max="5"/>
  </cols>
  <sheetData>
    <row r="1">
      <c r="A1" s="26" t="inlineStr">
        <is>
          <t>Miteigentumsanteile (MEA)</t>
        </is>
      </c>
    </row>
    <row r="2">
      <c r="A2" s="27" t="inlineStr">
        <is>
          <t>Ulmer Str. 183, 86156 Augsburg – 10 WG-Wohnungen + 1 Gewerbeeinheit</t>
        </is>
      </c>
    </row>
    <row r="3">
      <c r="A3" s="27" t="inlineStr">
        <is>
          <t>Verteilungsschlüssel: Fläche je Einheit / Gesamtfläche (606,00 m²), gerundet nach Restgrößenverfahren auf ganze 1000stel. Grundlage: WFL-Berechnung Rev#5.</t>
        </is>
      </c>
    </row>
    <row r="5">
      <c r="A5" s="28" t="inlineStr">
        <is>
          <t>Einheit</t>
        </is>
      </c>
      <c r="B5" s="28" t="inlineStr">
        <is>
          <t>Geschoss</t>
        </is>
      </c>
      <c r="C5" s="28" t="inlineStr">
        <is>
          <t>Fläche (m²)</t>
        </is>
      </c>
      <c r="D5" s="28" t="inlineStr">
        <is>
          <t>Anteil exakt (‰)</t>
        </is>
      </c>
      <c r="E5" s="28" t="inlineStr">
        <is>
          <t>MEA (‰)</t>
        </is>
      </c>
    </row>
    <row r="6">
      <c r="A6" s="29" t="inlineStr">
        <is>
          <t>WHG 1</t>
        </is>
      </c>
      <c r="B6" s="30" t="inlineStr">
        <is>
          <t>EG</t>
        </is>
      </c>
      <c r="C6" s="31" t="n">
        <v>71.17</v>
      </c>
      <c r="D6" s="32" t="n">
        <v>117.4422442244224</v>
      </c>
      <c r="E6" s="33" t="n">
        <v>117</v>
      </c>
    </row>
    <row r="7">
      <c r="A7" s="34" t="inlineStr">
        <is>
          <t>WHG 2</t>
        </is>
      </c>
      <c r="B7" s="35" t="inlineStr">
        <is>
          <t>EG</t>
        </is>
      </c>
      <c r="C7" s="36" t="n">
        <v>57.12</v>
      </c>
      <c r="D7" s="37" t="n">
        <v>94.25742574257423</v>
      </c>
      <c r="E7" s="38" t="n">
        <v>94</v>
      </c>
    </row>
    <row r="8">
      <c r="A8" s="29" t="inlineStr">
        <is>
          <t>WHG 3</t>
        </is>
      </c>
      <c r="B8" s="30" t="inlineStr">
        <is>
          <t>1.OG</t>
        </is>
      </c>
      <c r="C8" s="31" t="n">
        <v>58.61</v>
      </c>
      <c r="D8" s="32" t="n">
        <v>96.71617161716171</v>
      </c>
      <c r="E8" s="33" t="n">
        <v>97</v>
      </c>
    </row>
    <row r="9">
      <c r="A9" s="34" t="inlineStr">
        <is>
          <t>WHG 4</t>
        </is>
      </c>
      <c r="B9" s="35" t="inlineStr">
        <is>
          <t>1.OG</t>
        </is>
      </c>
      <c r="C9" s="36" t="n">
        <v>48.31</v>
      </c>
      <c r="D9" s="37" t="n">
        <v>79.71947194719471</v>
      </c>
      <c r="E9" s="38" t="n">
        <v>80</v>
      </c>
    </row>
    <row r="10">
      <c r="A10" s="29" t="inlineStr">
        <is>
          <t>WHG 5</t>
        </is>
      </c>
      <c r="B10" s="30" t="inlineStr">
        <is>
          <t>1.OG</t>
        </is>
      </c>
      <c r="C10" s="31" t="n">
        <v>61.03</v>
      </c>
      <c r="D10" s="32" t="n">
        <v>100.7095709570957</v>
      </c>
      <c r="E10" s="33" t="n">
        <v>101</v>
      </c>
    </row>
    <row r="11">
      <c r="A11" s="34" t="inlineStr">
        <is>
          <t>WHG 6</t>
        </is>
      </c>
      <c r="B11" s="35" t="inlineStr">
        <is>
          <t>2.OG</t>
        </is>
      </c>
      <c r="C11" s="36" t="n">
        <v>56.42</v>
      </c>
      <c r="D11" s="37" t="n">
        <v>93.10231023102308</v>
      </c>
      <c r="E11" s="38" t="n">
        <v>93</v>
      </c>
    </row>
    <row r="12">
      <c r="A12" s="29" t="inlineStr">
        <is>
          <t>WHG 7</t>
        </is>
      </c>
      <c r="B12" s="30" t="inlineStr">
        <is>
          <t>2.OG</t>
        </is>
      </c>
      <c r="C12" s="31" t="n">
        <v>47.08</v>
      </c>
      <c r="D12" s="32" t="n">
        <v>77.68976897689767</v>
      </c>
      <c r="E12" s="33" t="n">
        <v>78</v>
      </c>
    </row>
    <row r="13">
      <c r="A13" s="34" t="inlineStr">
        <is>
          <t>WHG 8</t>
        </is>
      </c>
      <c r="B13" s="35" t="inlineStr">
        <is>
          <t>2.OG</t>
        </is>
      </c>
      <c r="C13" s="36" t="n">
        <v>59.05</v>
      </c>
      <c r="D13" s="37" t="n">
        <v>97.44224422442242</v>
      </c>
      <c r="E13" s="38" t="n">
        <v>97</v>
      </c>
    </row>
    <row r="14">
      <c r="A14" s="29" t="inlineStr">
        <is>
          <t>WHG 9</t>
        </is>
      </c>
      <c r="B14" s="30" t="inlineStr">
        <is>
          <t>DG</t>
        </is>
      </c>
      <c r="C14" s="31" t="n">
        <v>60.55</v>
      </c>
      <c r="D14" s="32" t="n">
        <v>99.9174917491749</v>
      </c>
      <c r="E14" s="33" t="n">
        <v>100</v>
      </c>
    </row>
    <row r="15">
      <c r="A15" s="34" t="inlineStr">
        <is>
          <t>WHG 10</t>
        </is>
      </c>
      <c r="B15" s="35" t="inlineStr">
        <is>
          <t>DG</t>
        </is>
      </c>
      <c r="C15" s="36" t="n">
        <v>54.46</v>
      </c>
      <c r="D15" s="37" t="n">
        <v>89.86798679867985</v>
      </c>
      <c r="E15" s="38" t="n">
        <v>90</v>
      </c>
    </row>
    <row r="16">
      <c r="A16" s="29" t="inlineStr">
        <is>
          <t>Gewerbe</t>
        </is>
      </c>
      <c r="B16" s="30" t="inlineStr">
        <is>
          <t>EG</t>
        </is>
      </c>
      <c r="C16" s="31" t="n">
        <v>32.2</v>
      </c>
      <c r="D16" s="32" t="n">
        <v>53.13531353135313</v>
      </c>
      <c r="E16" s="33" t="n">
        <v>53</v>
      </c>
    </row>
    <row r="17">
      <c r="A17" s="39" t="inlineStr">
        <is>
          <t>Summe</t>
        </is>
      </c>
      <c r="B17" s="40" t="n"/>
      <c r="C17" s="41" t="n">
        <v>606.0000000000001</v>
      </c>
      <c r="D17" s="42" t="n"/>
      <c r="E17" s="4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2026-07-10T09:13:59Z</dcterms:created>
  <dcterms:modified xmlns:dcterms="http://purl.org/dc/terms/" xmlns:xsi="http://www.w3.org/2001/XMLSchema-instance" xsi:type="dcterms:W3CDTF">2026-07-27T10:59:31Z</dcterms:modified>
  <cp:lastModifiedBy>Arber Beqiri</cp:lastModifiedBy>
  <cp:revision>0</cp:revision>
</cp:coreProperties>
</file>